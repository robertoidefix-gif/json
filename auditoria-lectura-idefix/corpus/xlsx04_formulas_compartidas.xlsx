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tidas" sheetId="1" r:id="rId1"/>
  </sheets>
</workbook>
</file>

<file path=xl/sharedStrings.xml><?xml version="1.0" encoding="utf-8"?>
<sst xmlns="http://schemas.openxmlformats.org/spreadsheetml/2006/main" count="46" uniqueCount="46">
  <si>
    <t>Fecha expedición</t>
  </si>
  <si>
    <t>Serie</t>
  </si>
  <si>
    <t>Número factura</t>
  </si>
  <si>
    <t>NIF cliente</t>
  </si>
  <si>
    <t>Nombre cliente</t>
  </si>
  <si>
    <t>Base imponible</t>
  </si>
  <si>
    <t>Tipo IVA</t>
  </si>
  <si>
    <t>Cuota IVA</t>
  </si>
  <si>
    <t>Total</t>
  </si>
  <si>
    <t>A</t>
  </si>
  <si>
    <t>2025/0101</t>
  </si>
  <si>
    <t>B87654323</t>
  </si>
  <si>
    <t>Ferretería Núñez, S.L.</t>
  </si>
  <si>
    <t>2025/0102</t>
  </si>
  <si>
    <t>12345678Z</t>
  </si>
  <si>
    <t>José Ángel Peña Ibáñez</t>
  </si>
  <si>
    <t>2025/0103</t>
  </si>
  <si>
    <t>F60123452</t>
  </si>
  <si>
    <t>Comercial Gòdia, SCCL</t>
  </si>
  <si>
    <t>2025/0104</t>
  </si>
  <si>
    <t>A41239872</t>
  </si>
  <si>
    <t>Distribuciones Áreas del Sur, S.A.</t>
  </si>
  <si>
    <t>2025/0105</t>
  </si>
  <si>
    <t>72839104J</t>
  </si>
  <si>
    <t>María Begoña Etxeberria Zubizarreta</t>
  </si>
  <si>
    <t>2025/0106</t>
  </si>
  <si>
    <t>P2812300H</t>
  </si>
  <si>
    <t>Ayuntamiento de Villanueva</t>
  </si>
  <si>
    <t>2025/0107</t>
  </si>
  <si>
    <t>B91827360</t>
  </si>
  <si>
    <t>Hostelería Cañada Real, S.L.</t>
  </si>
  <si>
    <t>2025/0108</t>
  </si>
  <si>
    <t>50817263M</t>
  </si>
  <si>
    <t>Lucía Fernández-Ordóñez</t>
  </si>
  <si>
    <t>2025/0109</t>
  </si>
  <si>
    <t>A58818501</t>
  </si>
  <si>
    <t>Talleres Peña Gutiérrez, S.A.</t>
  </si>
  <si>
    <t>2025/0110</t>
  </si>
  <si>
    <t>G65432106</t>
  </si>
  <si>
    <t>Asociación Cultural L'Àncora</t>
  </si>
  <si>
    <t>2025/0111</t>
  </si>
  <si>
    <t>B33445560</t>
  </si>
  <si>
    <t>Óptica Señorío, S.L.</t>
  </si>
  <si>
    <t>2025/0112</t>
  </si>
  <si>
    <t>38492017E</t>
  </si>
  <si>
    <t>Xavier Puigdomènech i Roca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</si>
</sst>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45660</v>
      </c>
      <c r="B2" t="s">
        <v>9</v>
      </c>
      <c r="C2" t="s">
        <v>10</v>
      </c>
      <c r="D2" t="s">
        <v>11</v>
      </c>
      <c r="E2" t="s">
        <v>12</v>
      </c>
      <c r="F2" s="2">
        <v>1250.00</v>
      </c>
      <c r="G2">
        <v>21</v>
      </c>
      <c r="H2" s="2">
        <f t="shared" ref="H2:H13" si="0">ROUND(F2*G2/100,2)</f>
        <v>262.50</v>
      </c>
      <c r="I2" s="2">
        <f t="shared" ref="I2:I13" si="1">F2+H2</f>
        <v>1512.50</v>
      </c>
    </row>
    <row r="3">
      <c r="A3" s="1">
        <v>45665</v>
      </c>
      <c r="B3" t="s">
        <v>9</v>
      </c>
      <c r="C3" t="s">
        <v>13</v>
      </c>
      <c r="D3" t="s">
        <v>14</v>
      </c>
      <c r="E3" t="s">
        <v>15</v>
      </c>
      <c r="F3" s="2">
        <v>89.90</v>
      </c>
      <c r="G3">
        <v>21</v>
      </c>
      <c r="H3" s="2">
        <f t="shared" si="0"/>
        <v>18.88</v>
      </c>
      <c r="I3" s="2">
        <f t="shared" si="1"/>
        <v>108.78</v>
      </c>
    </row>
    <row r="4">
      <c r="A4" s="1">
        <v>45701</v>
      </c>
      <c r="B4" t="s">
        <v>9</v>
      </c>
      <c r="C4" t="s">
        <v>16</v>
      </c>
      <c r="D4" t="s">
        <v>17</v>
      </c>
      <c r="E4" t="s">
        <v>18</v>
      </c>
      <c r="F4" s="2">
        <v>12345.67</v>
      </c>
      <c r="G4">
        <v>21</v>
      </c>
      <c r="H4" s="2">
        <f t="shared" si="0"/>
        <v>2592.59</v>
      </c>
      <c r="I4" s="2">
        <f t="shared" si="1"/>
        <v>14938.26</v>
      </c>
    </row>
    <row r="5">
      <c r="A5" s="1">
        <v>45706</v>
      </c>
      <c r="B5" t="s">
        <v>9</v>
      </c>
      <c r="C5" t="s">
        <v>19</v>
      </c>
      <c r="D5" t="s">
        <v>20</v>
      </c>
      <c r="E5" t="s">
        <v>21</v>
      </c>
      <c r="F5" s="2">
        <v>560.40</v>
      </c>
      <c r="G5">
        <v>10</v>
      </c>
      <c r="H5" s="2">
        <f t="shared" si="0"/>
        <v>56.04</v>
      </c>
      <c r="I5" s="2">
        <f t="shared" si="1"/>
        <v>616.44</v>
      </c>
    </row>
    <row r="6">
      <c r="A6" s="1">
        <v>45739</v>
      </c>
      <c r="B6" t="s">
        <v>9</v>
      </c>
      <c r="C6" t="s">
        <v>22</v>
      </c>
      <c r="D6" t="s">
        <v>23</v>
      </c>
      <c r="E6" t="s">
        <v>24</v>
      </c>
      <c r="F6" s="2">
        <v>2300.00</v>
      </c>
      <c r="G6">
        <v>21</v>
      </c>
      <c r="H6" s="2">
        <f t="shared" si="0"/>
        <v>483.00</v>
      </c>
      <c r="I6" s="2">
        <f t="shared" si="1"/>
        <v>2783.00</v>
      </c>
    </row>
    <row r="7">
      <c r="A7" s="1">
        <v>45719</v>
      </c>
      <c r="B7" t="s">
        <v>9</v>
      </c>
      <c r="C7" t="s">
        <v>25</v>
      </c>
      <c r="D7" t="s">
        <v>26</v>
      </c>
      <c r="E7" t="s">
        <v>27</v>
      </c>
      <c r="F7" s="2">
        <v>15000.00</v>
      </c>
      <c r="G7">
        <v>21</v>
      </c>
      <c r="H7" s="2">
        <f t="shared" si="0"/>
        <v>3150.00</v>
      </c>
      <c r="I7" s="2">
        <f t="shared" si="1"/>
        <v>18150.00</v>
      </c>
    </row>
    <row r="8">
      <c r="A8" s="1">
        <v>45755</v>
      </c>
      <c r="B8" t="s">
        <v>9</v>
      </c>
      <c r="C8" t="s">
        <v>28</v>
      </c>
      <c r="D8" t="s">
        <v>29</v>
      </c>
      <c r="E8" t="s">
        <v>30</v>
      </c>
      <c r="F8" s="2">
        <v>735.25</v>
      </c>
      <c r="G8">
        <v>10</v>
      </c>
      <c r="H8" s="2">
        <f t="shared" si="0"/>
        <v>73.53</v>
      </c>
      <c r="I8" s="2">
        <f t="shared" si="1"/>
        <v>808.78</v>
      </c>
    </row>
    <row r="9">
      <c r="A9" s="1">
        <v>45760</v>
      </c>
      <c r="B9" t="s">
        <v>9</v>
      </c>
      <c r="C9" t="s">
        <v>31</v>
      </c>
      <c r="D9" t="s">
        <v>32</v>
      </c>
      <c r="E9" t="s">
        <v>33</v>
      </c>
      <c r="F9" s="2">
        <v>48.60</v>
      </c>
      <c r="G9">
        <v>4</v>
      </c>
      <c r="H9" s="2">
        <f t="shared" si="0"/>
        <v>1.94</v>
      </c>
      <c r="I9" s="2">
        <f t="shared" si="1"/>
        <v>50.54</v>
      </c>
    </row>
    <row r="10">
      <c r="A10" s="1">
        <v>45795</v>
      </c>
      <c r="B10" t="s">
        <v>9</v>
      </c>
      <c r="C10" t="s">
        <v>34</v>
      </c>
      <c r="D10" t="s">
        <v>35</v>
      </c>
      <c r="E10" t="s">
        <v>36</v>
      </c>
      <c r="F10" s="2">
        <v>1354.60</v>
      </c>
      <c r="G10">
        <v>21</v>
      </c>
      <c r="H10" s="2">
        <f t="shared" si="0"/>
        <v>284.47</v>
      </c>
      <c r="I10" s="2">
        <f t="shared" si="1"/>
        <v>1639.07</v>
      </c>
    </row>
    <row r="11">
      <c r="A11" s="1">
        <v>45800</v>
      </c>
      <c r="B11" t="s">
        <v>9</v>
      </c>
      <c r="C11" t="s">
        <v>37</v>
      </c>
      <c r="D11" t="s">
        <v>38</v>
      </c>
      <c r="E11" t="s">
        <v>39</v>
      </c>
      <c r="F11" s="2">
        <v>999.99</v>
      </c>
      <c r="G11">
        <v>0</v>
      </c>
      <c r="H11" s="2">
        <f t="shared" si="0"/>
        <v>0.00</v>
      </c>
      <c r="I11" s="2">
        <f t="shared" si="1"/>
        <v>999.99</v>
      </c>
    </row>
    <row r="12">
      <c r="A12" s="1">
        <v>45811</v>
      </c>
      <c r="B12" t="s">
        <v>9</v>
      </c>
      <c r="C12" t="s">
        <v>40</v>
      </c>
      <c r="D12" t="s">
        <v>41</v>
      </c>
      <c r="E12" t="s">
        <v>42</v>
      </c>
      <c r="F12" s="2">
        <v>3120.10</v>
      </c>
      <c r="G12">
        <v>21</v>
      </c>
      <c r="H12" s="2">
        <f t="shared" si="0"/>
        <v>655.22</v>
      </c>
      <c r="I12" s="2">
        <f t="shared" si="1"/>
        <v>3775.32</v>
      </c>
    </row>
    <row r="13">
      <c r="A13" s="1">
        <v>45816</v>
      </c>
      <c r="B13" t="s">
        <v>9</v>
      </c>
      <c r="C13" t="s">
        <v>43</v>
      </c>
      <c r="D13" t="s">
        <v>44</v>
      </c>
      <c r="E13" t="s">
        <v>45</v>
      </c>
      <c r="F13" s="2">
        <v>410.00</v>
      </c>
      <c r="G13">
        <v>21</v>
      </c>
      <c r="H13" s="2">
        <f t="shared" si="0"/>
        <v>86.10</v>
      </c>
      <c r="I13" s="2">
        <f t="shared" si="1"/>
        <v>496.10</v>
      </c>
    </row>
  </sheetData>
</worksheet>
</file>