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iti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<sst xmlns="http://schemas.openxmlformats.org/spreadsheetml/2006/main" count="57" uniqueCount="46">
  <si>
    <t xml:space="preserve">Fecha expedición</t>
  </si>
  <si>
    <t xml:space="preserve">Serie</t>
  </si>
  <si>
    <t xml:space="preserve">Número factura</t>
  </si>
  <si>
    <t xml:space="preserve">NIF cliente</t>
  </si>
  <si>
    <t xml:space="preserve">Nombre cliente</t>
  </si>
  <si>
    <t xml:space="preserve">Base imponible</t>
  </si>
  <si>
    <t xml:space="preserve">Tipo IVA</t>
  </si>
  <si>
    <t xml:space="preserve">Cuota IVA</t>
  </si>
  <si>
    <t xml:space="preserve">Total</t>
  </si>
  <si>
    <t xml:space="preserve">A</t>
  </si>
  <si>
    <t xml:space="preserve">2025/0101</t>
  </si>
  <si>
    <t xml:space="preserve">B87654323</t>
  </si>
  <si>
    <t xml:space="preserve">Ferretería Núñez, S.L.</t>
  </si>
  <si>
    <t xml:space="preserve">2025/0102</t>
  </si>
  <si>
    <t xml:space="preserve">12345678Z</t>
  </si>
  <si>
    <t xml:space="preserve">José Ángel Peña Ibáñez</t>
  </si>
  <si>
    <t xml:space="preserve">2025/0103</t>
  </si>
  <si>
    <t xml:space="preserve">F60123452</t>
  </si>
  <si>
    <t xml:space="preserve">Comercial Gòdia, SCCL</t>
  </si>
  <si>
    <t xml:space="preserve">2025/0104</t>
  </si>
  <si>
    <t xml:space="preserve">A41239872</t>
  </si>
  <si>
    <t xml:space="preserve">Distribuciones Áreas del Sur, S.A.</t>
  </si>
  <si>
    <t xml:space="preserve">2025/0105</t>
  </si>
  <si>
    <t xml:space="preserve">72839104J</t>
  </si>
  <si>
    <t xml:space="preserve">María Begoña Etxeberria Zubizarreta</t>
  </si>
  <si>
    <t xml:space="preserve">2025/0106</t>
  </si>
  <si>
    <t xml:space="preserve">P2812300H</t>
  </si>
  <si>
    <t xml:space="preserve">Ayuntamiento de Villanueva</t>
  </si>
  <si>
    <t xml:space="preserve">2025/0107</t>
  </si>
  <si>
    <t xml:space="preserve">B91827360</t>
  </si>
  <si>
    <t xml:space="preserve">Hostelería Cañada Real, S.L.</t>
  </si>
  <si>
    <t xml:space="preserve">2025/0108</t>
  </si>
  <si>
    <t xml:space="preserve">50817263M</t>
  </si>
  <si>
    <t xml:space="preserve">Lucía Fernández-Ordóñez</t>
  </si>
  <si>
    <t xml:space="preserve">2025/0109</t>
  </si>
  <si>
    <t xml:space="preserve">A58818501</t>
  </si>
  <si>
    <t xml:space="preserve">Talleres Peña Gutiérrez, S.A.</t>
  </si>
  <si>
    <t xml:space="preserve">2025/0110</t>
  </si>
  <si>
    <t xml:space="preserve">G65432106</t>
  </si>
  <si>
    <t xml:space="preserve">Asociación Cultural L'Àncora</t>
  </si>
  <si>
    <t xml:space="preserve">2025/0111</t>
  </si>
  <si>
    <t xml:space="preserve">B33445560</t>
  </si>
  <si>
    <t xml:space="preserve">Óptica Señorío, S.L.</t>
  </si>
  <si>
    <t xml:space="preserve">2025/0112</t>
  </si>
  <si>
    <t xml:space="preserve">38492017E</t>
  </si>
  <si>
    <t xml:space="preserve">Xavier Puigdomènech i Roca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</si>
</sst>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45660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1250</v>
      </c>
      <c r="G2" s="0" t="n">
        <v>21</v>
      </c>
      <c r="H2" s="3" t="n">
        <f aca="false">ROUND(F2*G2/100,2)</f>
        <v>262.5</v>
      </c>
      <c r="I2" s="3" t="n">
        <f aca="false">F2+H2</f>
        <v>1512.5</v>
      </c>
    </row>
    <row r="3" customFormat="false" ht="15" hidden="false" customHeight="false" outlineLevel="0" collapsed="false">
      <c r="A3" s="1" t="n">
        <v>45665</v>
      </c>
      <c r="B3" s="2" t="s">
        <v>9</v>
      </c>
      <c r="C3" s="2" t="s">
        <v>13</v>
      </c>
      <c r="D3" s="2" t="s">
        <v>14</v>
      </c>
      <c r="E3" s="2" t="s">
        <v>15</v>
      </c>
      <c r="F3" s="3" t="n">
        <v>89.9</v>
      </c>
      <c r="G3" s="0" t="n">
        <v>21</v>
      </c>
      <c r="H3" s="3" t="n">
        <f aca="false">ROUND(F3*G3/100,2)</f>
        <v>18.88</v>
      </c>
      <c r="I3" s="3" t="n">
        <f aca="false">F3+H3</f>
        <v>108.78</v>
      </c>
    </row>
    <row r="4" customFormat="false" ht="15" hidden="false" customHeight="false" outlineLevel="0" collapsed="false">
      <c r="A4" s="1" t="n">
        <v>45701</v>
      </c>
      <c r="B4" s="2" t="s">
        <v>9</v>
      </c>
      <c r="C4" s="2" t="s">
        <v>16</v>
      </c>
      <c r="D4" s="2" t="s">
        <v>17</v>
      </c>
      <c r="E4" s="2" t="s">
        <v>18</v>
      </c>
      <c r="F4" s="3" t="n">
        <v>12345.67</v>
      </c>
      <c r="G4" s="0" t="n">
        <v>21</v>
      </c>
      <c r="H4" s="3" t="n">
        <f aca="false">ROUND(F4*G4/100,2)</f>
        <v>2592.59</v>
      </c>
      <c r="I4" s="3" t="n">
        <f aca="false">F4+H4</f>
        <v>14938.26</v>
      </c>
    </row>
    <row r="5" customFormat="false" ht="15" hidden="false" customHeight="false" outlineLevel="0" collapsed="false">
      <c r="A5" s="1" t="n">
        <v>45706</v>
      </c>
      <c r="B5" s="2" t="s">
        <v>9</v>
      </c>
      <c r="C5" s="2" t="s">
        <v>19</v>
      </c>
      <c r="D5" s="2" t="s">
        <v>20</v>
      </c>
      <c r="E5" s="2" t="s">
        <v>21</v>
      </c>
      <c r="F5" s="3" t="n">
        <v>560.4</v>
      </c>
      <c r="G5" s="0" t="n">
        <v>10</v>
      </c>
      <c r="H5" s="3" t="n">
        <f aca="false">ROUND(F5*G5/100,2)</f>
        <v>56.04</v>
      </c>
      <c r="I5" s="3" t="n">
        <f aca="false">F5+H5</f>
        <v>616.44</v>
      </c>
    </row>
    <row r="6" customFormat="false" ht="15" hidden="false" customHeight="false" outlineLevel="0" collapsed="false">
      <c r="A6" s="1" t="n">
        <v>45739</v>
      </c>
      <c r="B6" s="2" t="s">
        <v>9</v>
      </c>
      <c r="C6" s="2" t="s">
        <v>22</v>
      </c>
      <c r="D6" s="2" t="s">
        <v>23</v>
      </c>
      <c r="E6" s="2" t="s">
        <v>24</v>
      </c>
      <c r="F6" s="3" t="n">
        <v>2300</v>
      </c>
      <c r="G6" s="0" t="n">
        <v>21</v>
      </c>
      <c r="H6" s="3" t="n">
        <f aca="false">ROUND(F6*G6/100,2)</f>
        <v>483</v>
      </c>
      <c r="I6" s="3" t="n">
        <f aca="false">F6+H6</f>
        <v>2783</v>
      </c>
    </row>
    <row r="7" customFormat="false" ht="15" hidden="false" customHeight="false" outlineLevel="0" collapsed="false">
      <c r="A7" s="1" t="n">
        <v>45719</v>
      </c>
      <c r="B7" s="2" t="s">
        <v>9</v>
      </c>
      <c r="C7" s="2" t="s">
        <v>25</v>
      </c>
      <c r="D7" s="2" t="s">
        <v>26</v>
      </c>
      <c r="E7" s="2" t="s">
        <v>27</v>
      </c>
      <c r="F7" s="3" t="n">
        <v>15000</v>
      </c>
      <c r="G7" s="0" t="n">
        <v>21</v>
      </c>
      <c r="H7" s="3" t="n">
        <f aca="false">ROUND(F7*G7/100,2)</f>
        <v>3150</v>
      </c>
      <c r="I7" s="3" t="n">
        <f aca="false">F7+H7</f>
        <v>18150</v>
      </c>
    </row>
    <row r="8" customFormat="false" ht="15" hidden="false" customHeight="false" outlineLevel="0" collapsed="false">
      <c r="A8" s="1" t="n">
        <v>45755</v>
      </c>
      <c r="B8" s="2" t="s">
        <v>9</v>
      </c>
      <c r="C8" s="2" t="s">
        <v>28</v>
      </c>
      <c r="D8" s="2" t="s">
        <v>29</v>
      </c>
      <c r="E8" s="2" t="s">
        <v>30</v>
      </c>
      <c r="F8" s="3" t="n">
        <v>735.25</v>
      </c>
      <c r="G8" s="0" t="n">
        <v>10</v>
      </c>
      <c r="H8" s="3" t="n">
        <f aca="false">ROUND(F8*G8/100,2)</f>
        <v>73.53</v>
      </c>
      <c r="I8" s="3" t="n">
        <f aca="false">F8+H8</f>
        <v>808.78</v>
      </c>
    </row>
    <row r="9" customFormat="false" ht="15" hidden="false" customHeight="false" outlineLevel="0" collapsed="false">
      <c r="A9" s="1" t="n">
        <v>45760</v>
      </c>
      <c r="B9" s="2" t="s">
        <v>9</v>
      </c>
      <c r="C9" s="2" t="s">
        <v>31</v>
      </c>
      <c r="D9" s="2" t="s">
        <v>32</v>
      </c>
      <c r="E9" s="2" t="s">
        <v>33</v>
      </c>
      <c r="F9" s="3" t="n">
        <v>48.6</v>
      </c>
      <c r="G9" s="0" t="n">
        <v>4</v>
      </c>
      <c r="H9" s="3" t="n">
        <f aca="false">ROUND(F9*G9/100,2)</f>
        <v>1.94</v>
      </c>
      <c r="I9" s="3" t="n">
        <f aca="false">F9+H9</f>
        <v>50.54</v>
      </c>
    </row>
    <row r="10" customFormat="false" ht="15" hidden="false" customHeight="false" outlineLevel="0" collapsed="false">
      <c r="A10" s="1" t="n">
        <v>45795</v>
      </c>
      <c r="B10" s="2" t="s">
        <v>9</v>
      </c>
      <c r="C10" s="2" t="s">
        <v>34</v>
      </c>
      <c r="D10" s="2" t="s">
        <v>35</v>
      </c>
      <c r="E10" s="2" t="s">
        <v>36</v>
      </c>
      <c r="F10" s="3" t="n">
        <v>1354.6</v>
      </c>
      <c r="G10" s="0" t="n">
        <v>21</v>
      </c>
      <c r="H10" s="3" t="n">
        <f aca="false">ROUND(F10*G10/100,2)</f>
        <v>284.47</v>
      </c>
      <c r="I10" s="3" t="n">
        <f aca="false">F10+H10</f>
        <v>1639.07</v>
      </c>
    </row>
    <row r="11" customFormat="false" ht="15" hidden="false" customHeight="false" outlineLevel="0" collapsed="false">
      <c r="A11" s="1" t="n">
        <v>45800</v>
      </c>
      <c r="B11" s="2" t="s">
        <v>9</v>
      </c>
      <c r="C11" s="2" t="s">
        <v>37</v>
      </c>
      <c r="D11" s="2" t="s">
        <v>38</v>
      </c>
      <c r="E11" s="2" t="s">
        <v>39</v>
      </c>
      <c r="F11" s="3" t="n">
        <v>999.99</v>
      </c>
      <c r="G11" s="0" t="n">
        <v>0</v>
      </c>
      <c r="H11" s="3" t="n">
        <f aca="false">ROUND(F11*G11/100,2)</f>
        <v>0</v>
      </c>
      <c r="I11" s="3" t="n">
        <f aca="false">F11+H11</f>
        <v>999.99</v>
      </c>
    </row>
    <row r="12" customFormat="false" ht="15" hidden="false" customHeight="false" outlineLevel="0" collapsed="false">
      <c r="A12" s="1" t="n">
        <v>45811</v>
      </c>
      <c r="B12" s="2" t="s">
        <v>9</v>
      </c>
      <c r="C12" s="2" t="s">
        <v>40</v>
      </c>
      <c r="D12" s="2" t="s">
        <v>41</v>
      </c>
      <c r="E12" s="2" t="s">
        <v>42</v>
      </c>
      <c r="F12" s="3" t="n">
        <v>3120.1</v>
      </c>
      <c r="G12" s="0" t="n">
        <v>21</v>
      </c>
      <c r="H12" s="3" t="n">
        <f aca="false">ROUND(F12*G12/100,2)</f>
        <v>655.22</v>
      </c>
      <c r="I12" s="3" t="n">
        <f aca="false">F12+H12</f>
        <v>3775.32</v>
      </c>
    </row>
    <row r="13" customFormat="false" ht="15" hidden="false" customHeight="false" outlineLevel="0" collapsed="false">
      <c r="A13" s="1" t="n">
        <v>45816</v>
      </c>
      <c r="B13" s="2" t="s">
        <v>9</v>
      </c>
      <c r="C13" s="2" t="s">
        <v>43</v>
      </c>
      <c r="D13" s="2" t="s">
        <v>44</v>
      </c>
      <c r="E13" s="2" t="s">
        <v>45</v>
      </c>
      <c r="F13" s="3" t="n">
        <v>410</v>
      </c>
      <c r="G13" s="0" t="n">
        <v>21</v>
      </c>
      <c r="H13" s="3" t="n">
        <f aca="false">ROUND(F13*G13/100,2)</f>
        <v>86.1</v>
      </c>
      <c r="I13" s="3" t="n">
        <f aca="false">F13+H13</f>
        <v>496.1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2026-10-02T09:52:02Z</dcterms:created>
  <dc:creator>openpyxl</dc:creator>
  <dc:description/>
  <dc:language>en-US</dc:language>
  <cp:lastModifiedBy/>
  <dcterms:modified xsi:type="dcterms:W3CDTF">2026-10-02T09:52:02Z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